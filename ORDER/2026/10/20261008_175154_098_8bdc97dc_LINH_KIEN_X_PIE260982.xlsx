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0122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<sst xmlns="http://schemas.openxmlformats.org/spreadsheetml/2006/main" count="52" uniqueCount="43">
  <si>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ĐƠN ĐẶT HÀNG</t>
  </si>
  <si>
    <t xml:space="preserve">Số: PIE260982</t>
  </si>
  <si>
    <t xml:space="preserve">Ngày: 20260807</t>
  </si>
  <si>
    <r>
      <rPr>
        <sz val="12"/>
        <color rgb="FF000000"/>
        <rFont val="Arial"/>
        <family val="2"/>
        <charset val="1"/>
      </rPr>
      <t xml:space="preserve">PR NO.</t>
    </r>
    <r>
      <rPr>
        <sz val="12"/>
        <color rgb="FF000000"/>
        <rFont val="Microsoft YaHei"/>
        <family val="2"/>
        <charset val="1"/>
      </rPr>
      <t xml:space="preserve">：</t>
    </r>
    <r>
      <rPr>
        <sz val="12"/>
        <color rgb="FF000000"/>
        <rFont val="Arial"/>
        <family val="2"/>
        <charset val="1"/>
      </rPr>
      <t xml:space="preserve">260982-1115</t>
    </r>
  </si>
  <si>
    <t xml:space="preserve">Bên mua:</t>
  </si>
  <si>
    <t xml:space="preserve">CÔNG TY TNHH MOONPO DEVELOPMENT VIỆT NAM</t>
  </si>
  <si>
    <t xml:space="preserve">Lô CN-01, Khu công nghiệp Đồng Văn IV,  Phường Lê Hồ, tỉnh Ninh Bình</t>
  </si>
  <si>
    <t xml:space="preserve">Mã số thuế: 0700834811</t>
  </si>
  <si>
    <t xml:space="preserve">Bên bán:</t>
  </si>
  <si>
    <t xml:space="preserve">CÔNG TY TNHH LINH KIỆN X</t>
  </si>
  <si>
    <t xml:space="preserve">Địa chỉ: 28 Hàn Thuyên, Phường Thủ Đức, TP Hồ Chí Minh, Việt Nam</t>
  </si>
  <si>
    <t xml:space="preserve">Mail : info@linhkienx.com</t>
  </si>
  <si>
    <t xml:space="preserve">I. Mô tả hàng hóa:</t>
  </si>
  <si>
    <t xml:space="preserve">STT</t>
  </si>
  <si>
    <t xml:space="preserve">Name</t>
  </si>
  <si>
    <t xml:space="preserve">Model</t>
  </si>
  <si>
    <t xml:space="preserve">Số lượng</t>
  </si>
  <si>
    <t xml:space="preserve">Đơn vị tính</t>
  </si>
  <si>
    <t xml:space="preserve">Đơn giá</t>
  </si>
  <si>
    <t xml:space="preserve">VAT</t>
  </si>
  <si>
    <t xml:space="preserve">Thành tiền</t>
  </si>
  <si>
    <t xml:space="preserve">Tay hàn Vinasemi 936H</t>
  </si>
  <si>
    <t xml:space="preserve">Cái</t>
  </si>
  <si>
    <t xml:space="preserve">8%</t>
  </si>
  <si>
    <t xml:space="preserve">Máy Hàn Khò Vinasemi 852D+, điện áp: 220Vac, công suất: 720W</t>
  </si>
  <si>
    <t xml:space="preserve">Que đo cat</t>
  </si>
  <si>
    <t xml:space="preserve">Điện trở 10 KOhm 0603 1%</t>
  </si>
  <si>
    <t xml:space="preserve">Điện trở 0805 5% SMD</t>
  </si>
  <si>
    <t xml:space="preserve">Tổng</t>
  </si>
  <si>
    <t xml:space="preserve">Shipping</t>
  </si>
  <si>
    <t xml:space="preserve">II. Điều khoản thương mại:</t>
  </si>
  <si>
    <t xml:space="preserve">1. Hàng mới 100%</t>
  </si>
  <si>
    <t xml:space="preserve">2. Điều khoản giao hàng: DAP</t>
  </si>
  <si>
    <t xml:space="preserve">3. Thời gian giao hàng: 3-7 ngày</t>
  </si>
  <si>
    <t xml:space="preserve">4. Vận chuyển: Xe tải</t>
  </si>
  <si>
    <t xml:space="preserve">5. Đóng gói: Tiêu chuẩn nhà sản xuất</t>
  </si>
  <si>
    <t xml:space="preserve">6. Điều khoản thanh toán: Thanh toán trước khi giao hàng</t>
  </si>
  <si>
    <t xml:space="preserve">7. Tài liệu khi giao hàng:</t>
  </si>
  <si>
    <t xml:space="preserve">a. Hóa đơn Giá trị gia tăng</t>
  </si>
  <si>
    <t xml:space="preserve">b. Biên Bản bàn giao</t>
  </si>
  <si>
    <t xml:space="preserve">BÊN BÁN</t>
  </si>
  <si>
    <t xml:space="preserve">BÊN MUA</t>
  </si>
  <si>
    <t xml:space="preserve">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</si>
</sst>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#,##0"/>
    <numFmt numFmtId="167" formatCode="@"/>
    <numFmt numFmtId="168" formatCode="0.00000"/>
  </numFmts>
  <fonts count="17">
    <font>
      <sz val="11"/>
      <color rgb="FF000000"/>
      <name val="Microsoft YaHe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18"/>
      <color rgb="FF000000"/>
      <name val="Microsoft YaHei"/>
      <family val="2"/>
      <charset val="1"/>
    </font>
    <font>
      <b val="true"/>
      <sz val="18"/>
      <color rgb="FF000000"/>
      <name val="Arial"/>
      <family val="2"/>
      <charset val="1"/>
    </font>
    <font>
      <sz val="12"/>
      <color rgb="FF000000"/>
      <name val="Microsoft YaHei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Microsoft YaHei"/>
      <family val="2"/>
      <charset val="1"/>
    </font>
    <font>
      <sz val="12"/>
      <name val="Microsoft YaHei"/>
      <family val="2"/>
      <charset val="1"/>
    </font>
    <font>
      <b val="true"/>
      <sz val="14"/>
      <color rgb="FF000000"/>
      <name val="Arial"/>
      <family val="2"/>
      <charset val="1"/>
    </font>
    <font>
      <sz val="14"/>
      <color rgb="FF000000"/>
      <name val="Microsoft YaHe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_Phieu thu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048576"/>
  <sheetViews>
    <sheetView showFormulas="false" showGridLines="false" showRowColHeaders="true" showZeros="true" rightToLeft="false" tabSelected="true" showOutlineSymbols="true" defaultGridColor="true" view="pageBreakPreview" topLeftCell="A5" colorId="64" zoomScale="75" zoomScaleNormal="85" zoomScalePageLayoutView="75" workbookViewId="0">
      <selection pane="topLeft" activeCell="C17" activeCellId="0" sqref="C17"/>
    </sheetView>
  </sheetViews>
  <sheetFormatPr defaultColWidth="7.86328125" defaultRowHeight="13.8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2" width="9.85"/>
    <col collapsed="false" customWidth="true" hidden="false" outlineLevel="0" max="3" min="3" style="2" width="36.54"/>
    <col collapsed="false" customWidth="true" hidden="false" outlineLevel="0" max="4" min="4" style="3" width="24.98"/>
    <col collapsed="false" customWidth="true" hidden="false" outlineLevel="0" max="5" min="5" style="3" width="9.46"/>
    <col collapsed="false" customWidth="true" hidden="false" outlineLevel="0" max="6" min="6" style="3" width="8.22"/>
    <col collapsed="false" customWidth="true" hidden="false" outlineLevel="0" max="7" min="7" style="4" width="12.35"/>
    <col collapsed="false" customWidth="true" hidden="false" outlineLevel="0" max="8" min="8" style="1" width="12.35"/>
    <col collapsed="false" customWidth="true" hidden="false" outlineLevel="0" max="9" min="9" style="4" width="14.15"/>
    <col collapsed="false" customWidth="false" hidden="false" outlineLevel="0" max="10" min="10" style="2" width="7.85"/>
    <col collapsed="false" customWidth="true" hidden="false" outlineLevel="0" max="11" min="11" style="2" width="9.1"/>
    <col collapsed="false" customWidth="false" hidden="false" outlineLevel="0" max="1025" min="12" style="2" width="7.85"/>
  </cols>
  <sheetData>
    <row r="1" customFormat="false" ht="12.8" hidden="false" customHeight="true" outlineLevel="0" collapsed="false">
      <c r="B1" s="5"/>
      <c r="C1" s="5"/>
      <c r="D1" s="5"/>
      <c r="E1" s="5"/>
      <c r="F1" s="5"/>
      <c r="G1" s="6"/>
      <c r="I1" s="6"/>
    </row>
    <row r="2" customFormat="false" ht="23.25" hidden="false" customHeight="true" outlineLevel="0" collapsed="false">
      <c r="B2" s="7" t="s">
        <v>0</v>
      </c>
      <c r="C2" s="7"/>
      <c r="D2" s="7"/>
      <c r="E2" s="7"/>
      <c r="F2" s="7"/>
      <c r="G2" s="7"/>
      <c r="H2" s="7"/>
      <c r="I2" s="7"/>
    </row>
    <row r="3" customFormat="false" ht="15" hidden="false" customHeight="false" outlineLevel="0" collapsed="false">
      <c r="B3" s="8"/>
      <c r="C3" s="8"/>
      <c r="D3" s="9"/>
      <c r="E3" s="9"/>
      <c r="F3" s="10" t="s">
        <v>1</v>
      </c>
      <c r="G3" s="11"/>
      <c r="H3" s="8"/>
      <c r="I3" s="11"/>
    </row>
    <row r="4" customFormat="false" ht="15" hidden="false" customHeight="false" outlineLevel="0" collapsed="false">
      <c r="B4" s="8"/>
      <c r="C4" s="8"/>
      <c r="D4" s="9"/>
      <c r="E4" s="9"/>
      <c r="F4" s="10" t="s">
        <v>2</v>
      </c>
      <c r="G4" s="12"/>
      <c r="H4" s="8"/>
      <c r="I4" s="12"/>
    </row>
    <row r="5" customFormat="false" ht="17.15" hidden="false" customHeight="false" outlineLevel="0" collapsed="false">
      <c r="B5" s="8"/>
      <c r="C5" s="8"/>
      <c r="D5" s="9"/>
      <c r="E5" s="9"/>
      <c r="F5" s="10" t="s">
        <v>3</v>
      </c>
      <c r="G5" s="12"/>
      <c r="H5" s="8"/>
      <c r="I5" s="12"/>
    </row>
    <row r="6" customFormat="false" ht="18.75" hidden="false" customHeight="true" outlineLevel="0" collapsed="false">
      <c r="B6" s="13" t="s">
        <v>4</v>
      </c>
      <c r="C6" s="14" t="s">
        <v>5</v>
      </c>
      <c r="D6" s="14"/>
      <c r="E6" s="9"/>
      <c r="F6" s="8"/>
      <c r="G6" s="8"/>
      <c r="H6" s="8"/>
      <c r="I6" s="8"/>
    </row>
    <row r="7" s="15" customFormat="true" ht="18.75" hidden="false" customHeight="true" outlineLevel="0" collapsed="false">
      <c r="B7" s="16"/>
      <c r="C7" s="17" t="s">
        <v>6</v>
      </c>
      <c r="D7" s="17"/>
      <c r="E7" s="17"/>
      <c r="F7" s="17"/>
      <c r="G7" s="17"/>
      <c r="H7" s="17"/>
      <c r="I7" s="17"/>
    </row>
    <row r="8" customFormat="false" ht="18.75" hidden="false" customHeight="true" outlineLevel="0" collapsed="false">
      <c r="B8" s="8"/>
      <c r="C8" s="18" t="s">
        <v>7</v>
      </c>
      <c r="D8" s="8"/>
      <c r="E8" s="9"/>
      <c r="F8" s="8"/>
      <c r="G8" s="8"/>
      <c r="H8" s="8"/>
      <c r="I8" s="8"/>
    </row>
    <row r="9" s="15" customFormat="true" ht="18.75" hidden="false" customHeight="true" outlineLevel="0" collapsed="false">
      <c r="B9" s="19" t="s">
        <v>8</v>
      </c>
      <c r="C9" s="13" t="s">
        <v>9</v>
      </c>
      <c r="D9" s="20"/>
      <c r="E9" s="21"/>
      <c r="F9" s="21"/>
      <c r="G9" s="22"/>
      <c r="H9" s="8"/>
      <c r="I9" s="22"/>
    </row>
    <row r="10" s="15" customFormat="true" ht="18.75" hidden="false" customHeight="true" outlineLevel="0" collapsed="false">
      <c r="B10" s="19"/>
      <c r="C10" s="23" t="s">
        <v>10</v>
      </c>
      <c r="D10" s="23"/>
      <c r="E10" s="23"/>
      <c r="F10" s="23"/>
      <c r="G10" s="23"/>
      <c r="H10" s="23"/>
      <c r="I10" s="23"/>
    </row>
    <row r="11" s="15" customFormat="true" ht="18.75" hidden="false" customHeight="true" outlineLevel="0" collapsed="false">
      <c r="B11" s="16"/>
      <c r="C11" s="23" t="s">
        <v>11</v>
      </c>
      <c r="D11" s="23"/>
      <c r="E11" s="23"/>
      <c r="F11" s="23"/>
      <c r="G11" s="23"/>
      <c r="H11" s="23"/>
      <c r="I11" s="23"/>
    </row>
    <row r="12" s="15" customFormat="true" ht="21" hidden="false" customHeight="true" outlineLevel="0" collapsed="false">
      <c r="B12" s="24" t="s">
        <v>12</v>
      </c>
      <c r="C12" s="25"/>
      <c r="D12" s="26"/>
      <c r="E12" s="26"/>
      <c r="F12" s="26"/>
      <c r="G12" s="27"/>
      <c r="H12" s="8"/>
      <c r="I12" s="27"/>
    </row>
    <row r="13" s="28" customFormat="true" ht="36.75" hidden="false" customHeight="true" outlineLevel="0" collapsed="false">
      <c r="B13" s="29" t="s">
        <v>13</v>
      </c>
      <c r="C13" s="29" t="s">
        <v>14</v>
      </c>
      <c r="D13" s="29" t="s">
        <v>15</v>
      </c>
      <c r="E13" s="29" t="s">
        <v>16</v>
      </c>
      <c r="F13" s="29" t="s">
        <v>17</v>
      </c>
      <c r="G13" s="30" t="s">
        <v>18</v>
      </c>
      <c r="H13" s="30" t="s">
        <v>19</v>
      </c>
      <c r="I13" s="31" t="s">
        <v>20</v>
      </c>
    </row>
    <row r="14" s="28" customFormat="true" ht="36.75" hidden="false" customHeight="true" outlineLevel="0" collapsed="false">
      <c r="B14" s="32" t="n">
        <v>1</v>
      </c>
      <c r="C14" s="33" t="s">
        <v>21</v>
      </c>
      <c r="D14" s="34"/>
      <c r="E14" s="34" t="n">
        <v>2</v>
      </c>
      <c r="F14" s="34" t="s">
        <v>22</v>
      </c>
      <c r="G14" s="35" t="n">
        <v>122300</v>
      </c>
      <c r="H14" s="36" t="s">
        <v>23</v>
      </c>
      <c r="I14" s="37" t="n">
        <f aca="false">G14*E14+G14*E14*H14</f>
        <v>264168</v>
      </c>
    </row>
    <row r="15" s="28" customFormat="true" ht="49.75" hidden="false" customHeight="true" outlineLevel="0" collapsed="false">
      <c r="A15" s="15"/>
      <c r="B15" s="32" t="n">
        <v>2</v>
      </c>
      <c r="C15" s="33" t="s">
        <v>24</v>
      </c>
      <c r="D15" s="38"/>
      <c r="E15" s="34" t="n">
        <v>1</v>
      </c>
      <c r="F15" s="34" t="s">
        <v>22</v>
      </c>
      <c r="G15" s="35" t="n">
        <v>1629100</v>
      </c>
      <c r="H15" s="36" t="s">
        <v>23</v>
      </c>
      <c r="I15" s="37" t="n">
        <f aca="false">G15*E15+G15*E15*H15</f>
        <v>1759428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5"/>
      <c r="QD15" s="15"/>
      <c r="QE15" s="15"/>
      <c r="QF15" s="15"/>
      <c r="QG15" s="15"/>
      <c r="QH15" s="15"/>
      <c r="QI15" s="15"/>
      <c r="QJ15" s="15"/>
      <c r="QK15" s="15"/>
      <c r="QL15" s="15"/>
      <c r="QM15" s="15"/>
      <c r="QN15" s="15"/>
      <c r="QO15" s="15"/>
      <c r="QP15" s="15"/>
      <c r="QQ15" s="15"/>
      <c r="QR15" s="15"/>
      <c r="QS15" s="15"/>
      <c r="QT15" s="15"/>
      <c r="QU15" s="15"/>
      <c r="QV15" s="15"/>
      <c r="QW15" s="15"/>
      <c r="QX15" s="15"/>
      <c r="QY15" s="15"/>
      <c r="QZ15" s="15"/>
      <c r="RA15" s="15"/>
      <c r="RB15" s="15"/>
      <c r="RC15" s="15"/>
      <c r="RD15" s="15"/>
      <c r="RE15" s="15"/>
      <c r="RF15" s="15"/>
      <c r="RG15" s="15"/>
      <c r="RH15" s="15"/>
      <c r="RI15" s="15"/>
      <c r="RJ15" s="15"/>
      <c r="RK15" s="15"/>
      <c r="RL15" s="15"/>
      <c r="RM15" s="15"/>
      <c r="RN15" s="15"/>
      <c r="RO15" s="15"/>
      <c r="RP15" s="15"/>
      <c r="RQ15" s="15"/>
      <c r="RR15" s="15"/>
      <c r="RS15" s="15"/>
      <c r="RT15" s="15"/>
      <c r="RU15" s="15"/>
      <c r="RV15" s="15"/>
      <c r="RW15" s="15"/>
      <c r="RX15" s="15"/>
      <c r="RY15" s="15"/>
      <c r="RZ15" s="15"/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5"/>
      <c r="SP15" s="15"/>
      <c r="SQ15" s="15"/>
      <c r="SR15" s="15"/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/>
      <c r="ALY15" s="15"/>
      <c r="ALZ15" s="15"/>
      <c r="AMA15" s="15"/>
      <c r="AMB15" s="15"/>
      <c r="AMC15" s="15"/>
      <c r="AMD15" s="15"/>
      <c r="AME15" s="15"/>
      <c r="AMF15" s="15"/>
      <c r="AMG15" s="15"/>
      <c r="AMH15" s="15"/>
      <c r="AMI15" s="15"/>
      <c r="AMJ15" s="15"/>
      <c r="AMK15" s="15"/>
    </row>
    <row r="16" s="28" customFormat="true" ht="35.25" hidden="false" customHeight="true" outlineLevel="0" collapsed="false">
      <c r="A16" s="15"/>
      <c r="B16" s="32" t="n">
        <v>3</v>
      </c>
      <c r="C16" s="33" t="s">
        <v>25</v>
      </c>
      <c r="D16" s="38"/>
      <c r="E16" s="34" t="n">
        <v>45</v>
      </c>
      <c r="F16" s="34" t="s">
        <v>22</v>
      </c>
      <c r="G16" s="35" t="n">
        <v>12000</v>
      </c>
      <c r="H16" s="36" t="s">
        <v>23</v>
      </c>
      <c r="I16" s="37" t="n">
        <f aca="false">G16*E16+G16*E16*H16</f>
        <v>583200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/>
      <c r="ALY16" s="15"/>
      <c r="ALZ16" s="15"/>
      <c r="AMA16" s="15"/>
      <c r="AMB16" s="15"/>
      <c r="AMC16" s="15"/>
      <c r="AMD16" s="15"/>
      <c r="AME16" s="15"/>
      <c r="AMF16" s="15"/>
      <c r="AMG16" s="15"/>
      <c r="AMH16" s="15"/>
      <c r="AMI16" s="15"/>
      <c r="AMJ16" s="15"/>
      <c r="AMK16" s="15"/>
    </row>
    <row r="17" s="15" customFormat="true" ht="35.25" hidden="false" customHeight="true" outlineLevel="0" collapsed="false">
      <c r="B17" s="32" t="n">
        <v>4</v>
      </c>
      <c r="C17" s="39" t="s">
        <v>26</v>
      </c>
      <c r="D17" s="38"/>
      <c r="E17" s="38" t="n">
        <v>490</v>
      </c>
      <c r="F17" s="40" t="s">
        <v>22</v>
      </c>
      <c r="G17" s="35" t="n">
        <v>23</v>
      </c>
      <c r="H17" s="36" t="s">
        <v>23</v>
      </c>
      <c r="I17" s="37" t="n">
        <f aca="false">G17*E17+G17*E17*H17</f>
        <v>12171.6</v>
      </c>
    </row>
    <row r="18" s="15" customFormat="true" ht="35.25" hidden="false" customHeight="true" outlineLevel="0" collapsed="false">
      <c r="B18" s="32" t="n">
        <v>5</v>
      </c>
      <c r="C18" s="39" t="s">
        <v>27</v>
      </c>
      <c r="D18" s="38"/>
      <c r="E18" s="38" t="n">
        <v>401</v>
      </c>
      <c r="F18" s="40" t="s">
        <v>22</v>
      </c>
      <c r="G18" s="35" t="n">
        <v>30</v>
      </c>
      <c r="H18" s="36" t="s">
        <v>23</v>
      </c>
      <c r="I18" s="37" t="n">
        <f aca="false">G18*E18+G18*E18*H18</f>
        <v>12992.4</v>
      </c>
    </row>
    <row r="19" s="15" customFormat="true" ht="24.75" hidden="false" customHeight="true" outlineLevel="0" collapsed="false">
      <c r="A19" s="1"/>
      <c r="B19" s="29" t="s">
        <v>28</v>
      </c>
      <c r="C19" s="29" t="s">
        <v>29</v>
      </c>
      <c r="D19" s="29"/>
      <c r="E19" s="29"/>
      <c r="F19" s="29"/>
      <c r="G19" s="29"/>
      <c r="H19" s="29"/>
      <c r="I19" s="31" t="n">
        <f aca="false">SUM(I14:I18)</f>
        <v>2631960</v>
      </c>
    </row>
    <row r="20" s="15" customFormat="true" ht="15" hidden="false" customHeight="false" outlineLevel="0" collapsed="false">
      <c r="A20" s="1"/>
      <c r="B20" s="41"/>
      <c r="C20" s="42"/>
      <c r="D20" s="43"/>
      <c r="E20" s="9"/>
      <c r="F20" s="9"/>
      <c r="G20" s="44"/>
      <c r="H20" s="8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</row>
    <row r="21" s="15" customFormat="true" ht="15" hidden="false" customHeight="false" outlineLevel="0" collapsed="false">
      <c r="A21" s="1"/>
      <c r="B21" s="13" t="s">
        <v>30</v>
      </c>
      <c r="C21" s="8"/>
      <c r="D21" s="9"/>
      <c r="E21" s="9"/>
      <c r="F21" s="9"/>
      <c r="G21" s="44"/>
      <c r="H21" s="8"/>
      <c r="I21" s="44"/>
      <c r="J21" s="2"/>
      <c r="K21" s="4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</row>
    <row r="22" s="15" customFormat="true" ht="15" hidden="false" customHeight="false" outlineLevel="0" collapsed="false">
      <c r="A22" s="1"/>
      <c r="B22" s="8"/>
      <c r="C22" s="46" t="s">
        <v>31</v>
      </c>
      <c r="D22" s="9"/>
      <c r="E22" s="9"/>
      <c r="F22" s="9"/>
      <c r="G22" s="44"/>
      <c r="H22" s="8"/>
      <c r="I22" s="4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</row>
    <row r="23" customFormat="false" ht="15" hidden="false" customHeight="false" outlineLevel="0" collapsed="false">
      <c r="B23" s="8"/>
      <c r="C23" s="46" t="s">
        <v>32</v>
      </c>
      <c r="D23" s="9"/>
      <c r="E23" s="9"/>
      <c r="F23" s="9"/>
      <c r="G23" s="44"/>
      <c r="H23" s="8"/>
      <c r="I23" s="44"/>
    </row>
    <row r="24" customFormat="false" ht="15" hidden="false" customHeight="false" outlineLevel="0" collapsed="false">
      <c r="B24" s="8"/>
      <c r="C24" s="47" t="s">
        <v>33</v>
      </c>
      <c r="D24" s="48"/>
      <c r="E24" s="9"/>
      <c r="F24" s="9"/>
      <c r="G24" s="44"/>
      <c r="H24" s="8"/>
      <c r="I24" s="44"/>
    </row>
    <row r="25" customFormat="false" ht="15" hidden="false" customHeight="false" outlineLevel="0" collapsed="false">
      <c r="B25" s="8"/>
      <c r="C25" s="46" t="s">
        <v>34</v>
      </c>
      <c r="D25" s="9"/>
      <c r="E25" s="9"/>
      <c r="F25" s="9"/>
      <c r="G25" s="44"/>
      <c r="H25" s="8"/>
      <c r="I25" s="44"/>
    </row>
    <row r="26" customFormat="false" ht="15" hidden="false" customHeight="false" outlineLevel="0" collapsed="false">
      <c r="B26" s="8"/>
      <c r="C26" s="46" t="s">
        <v>35</v>
      </c>
      <c r="D26" s="9"/>
      <c r="E26" s="9"/>
      <c r="F26" s="9"/>
      <c r="G26" s="44"/>
      <c r="H26" s="8"/>
      <c r="I26" s="44"/>
    </row>
    <row r="27" customFormat="false" ht="15" hidden="false" customHeight="false" outlineLevel="0" collapsed="false">
      <c r="B27" s="8"/>
      <c r="C27" s="46" t="s">
        <v>36</v>
      </c>
      <c r="D27" s="9"/>
      <c r="E27" s="9"/>
      <c r="F27" s="9"/>
      <c r="G27" s="44"/>
      <c r="H27" s="8"/>
      <c r="I27" s="44"/>
    </row>
    <row r="28" customFormat="false" ht="15" hidden="false" customHeight="false" outlineLevel="0" collapsed="false">
      <c r="B28" s="8"/>
      <c r="C28" s="46" t="s">
        <v>37</v>
      </c>
      <c r="D28" s="9"/>
      <c r="E28" s="9"/>
      <c r="F28" s="9"/>
      <c r="G28" s="44"/>
      <c r="H28" s="8"/>
      <c r="I28" s="44"/>
    </row>
    <row r="29" customFormat="false" ht="15" hidden="false" customHeight="false" outlineLevel="0" collapsed="false">
      <c r="B29" s="8"/>
      <c r="C29" s="49" t="s">
        <v>38</v>
      </c>
      <c r="D29" s="8"/>
      <c r="E29" s="9"/>
      <c r="F29" s="9"/>
      <c r="G29" s="44"/>
      <c r="H29" s="8"/>
      <c r="I29" s="44"/>
    </row>
    <row r="30" customFormat="false" ht="15" hidden="false" customHeight="false" outlineLevel="0" collapsed="false">
      <c r="B30" s="8"/>
      <c r="C30" s="49" t="s">
        <v>39</v>
      </c>
      <c r="D30" s="8"/>
      <c r="E30" s="9"/>
      <c r="F30" s="9"/>
      <c r="G30" s="44"/>
      <c r="H30" s="8"/>
      <c r="I30" s="44"/>
    </row>
    <row r="31" customFormat="false" ht="15" hidden="false" customHeight="false" outlineLevel="0" collapsed="false">
      <c r="B31" s="8"/>
      <c r="C31" s="49"/>
      <c r="D31" s="8"/>
      <c r="E31" s="9"/>
      <c r="F31" s="9"/>
      <c r="G31" s="44"/>
      <c r="H31" s="8"/>
      <c r="I31" s="44"/>
    </row>
    <row r="32" customFormat="false" ht="15.6" hidden="false" customHeight="false" outlineLevel="0" collapsed="false">
      <c r="B32" s="8"/>
      <c r="C32" s="8"/>
      <c r="D32" s="9"/>
      <c r="E32" s="9"/>
      <c r="F32" s="9"/>
      <c r="G32" s="44"/>
      <c r="I32" s="44"/>
    </row>
    <row r="33" customFormat="false" ht="15.6" hidden="false" customHeight="false" outlineLevel="0" collapsed="false">
      <c r="B33" s="8"/>
      <c r="C33" s="8"/>
      <c r="D33" s="9"/>
      <c r="E33" s="9"/>
      <c r="F33" s="9"/>
      <c r="G33" s="44"/>
      <c r="I33" s="44"/>
    </row>
    <row r="34" customFormat="false" ht="17.35" hidden="false" customHeight="false" outlineLevel="0" collapsed="false">
      <c r="B34" s="50" t="s">
        <v>40</v>
      </c>
      <c r="C34" s="50"/>
      <c r="D34" s="50"/>
      <c r="E34" s="51"/>
      <c r="F34" s="50" t="s">
        <v>41</v>
      </c>
      <c r="G34" s="50"/>
      <c r="H34" s="50"/>
      <c r="I34" s="50"/>
    </row>
    <row r="35" customFormat="false" ht="15.6" hidden="false" customHeight="false" outlineLevel="0" collapsed="false">
      <c r="B35" s="8"/>
      <c r="C35" s="8"/>
      <c r="D35" s="9"/>
      <c r="E35" s="9"/>
      <c r="F35" s="9"/>
      <c r="G35" s="44"/>
      <c r="I35" s="44"/>
    </row>
    <row r="36" customFormat="false" ht="15.6" hidden="false" customHeight="false" outlineLevel="0" collapsed="false">
      <c r="B36" s="8"/>
      <c r="C36" s="8"/>
      <c r="D36" s="9"/>
      <c r="E36" s="9"/>
      <c r="F36" s="9"/>
      <c r="G36" s="44"/>
      <c r="I36" s="44"/>
    </row>
    <row r="37" customFormat="false" ht="15.6" hidden="false" customHeight="false" outlineLevel="0" collapsed="false">
      <c r="B37" s="8"/>
      <c r="C37" s="8"/>
      <c r="D37" s="9"/>
      <c r="E37" s="9"/>
      <c r="F37" s="9"/>
      <c r="G37" s="44"/>
      <c r="I37" s="44"/>
    </row>
    <row r="38" customFormat="false" ht="15.6" hidden="false" customHeight="false" outlineLevel="0" collapsed="false">
      <c r="B38" s="8"/>
      <c r="C38" s="8"/>
      <c r="D38" s="9"/>
      <c r="E38" s="9"/>
      <c r="F38" s="9"/>
      <c r="G38" s="44"/>
      <c r="I38" s="44"/>
    </row>
    <row r="39" customFormat="false" ht="15.6" hidden="false" customHeight="false" outlineLevel="0" collapsed="false">
      <c r="B39" s="8"/>
      <c r="C39" s="8"/>
      <c r="D39" s="9"/>
      <c r="E39" s="9"/>
      <c r="F39" s="9"/>
      <c r="G39" s="44"/>
      <c r="I39" s="44"/>
    </row>
    <row r="40" customFormat="false" ht="15.6" hidden="false" customHeight="false" outlineLevel="0" collapsed="false">
      <c r="B40" s="8"/>
      <c r="C40" s="8"/>
      <c r="D40" s="9"/>
      <c r="E40" s="9"/>
      <c r="F40" s="9"/>
      <c r="G40" s="44"/>
      <c r="I40" s="44"/>
    </row>
    <row r="41" customFormat="false" ht="15.6" hidden="false" customHeight="false" outlineLevel="0" collapsed="false">
      <c r="B41" s="8"/>
      <c r="C41" s="8"/>
      <c r="D41" s="9"/>
      <c r="E41" s="9"/>
      <c r="F41" s="9"/>
      <c r="G41" s="44"/>
      <c r="I41" s="44"/>
    </row>
    <row r="42" customFormat="false" ht="15.6" hidden="false" customHeight="false" outlineLevel="0" collapsed="false">
      <c r="B42" s="8"/>
      <c r="C42" s="8"/>
      <c r="D42" s="9"/>
      <c r="E42" s="9"/>
      <c r="F42" s="9"/>
      <c r="G42" s="44"/>
      <c r="I42" s="44"/>
    </row>
    <row r="43" customFormat="false" ht="15.6" hidden="false" customHeight="false" outlineLevel="0" collapsed="false">
      <c r="B43" s="8"/>
      <c r="C43" s="8"/>
      <c r="D43" s="9"/>
      <c r="E43" s="9"/>
      <c r="F43" s="9"/>
      <c r="G43" s="44"/>
      <c r="I43" s="44"/>
    </row>
    <row r="44" customFormat="false" ht="15.6" hidden="false" customHeight="false" outlineLevel="0" collapsed="false">
      <c r="B44" s="8"/>
      <c r="C44" s="8"/>
      <c r="D44" s="9"/>
      <c r="E44" s="9"/>
      <c r="F44" s="9"/>
      <c r="G44" s="44"/>
      <c r="I44" s="44"/>
    </row>
    <row r="45" customFormat="false" ht="15.6" hidden="false" customHeight="false" outlineLevel="0" collapsed="false">
      <c r="B45" s="8"/>
      <c r="C45" s="8"/>
      <c r="D45" s="9"/>
      <c r="E45" s="9"/>
      <c r="F45" s="9"/>
      <c r="G45" s="44"/>
      <c r="I45" s="44" t="s">
        <v>42</v>
      </c>
      <c r="J45" s="2" t="s">
        <v>42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B2:I2"/>
    <mergeCell ref="C7:I7"/>
    <mergeCell ref="C10:I10"/>
    <mergeCell ref="C11:I11"/>
    <mergeCell ref="B19:H19"/>
    <mergeCell ref="B34:D34"/>
    <mergeCell ref="F34:I34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A1" activeCellId="0" sqref="A1"/>
    </sheetView>
  </sheetViews>
  <sheetFormatPr defaultColWidth="9.925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2022-01-03T04:52:49Z</dcterms:created>
  <dc:creator>ME</dc:creator>
  <dc:description/>
  <dc:language>en-US</dc:language>
  <cp:lastModifiedBy/>
  <cp:lastPrinted>2026-08-03T10:19:38Z</cp:lastPrinted>
  <dcterms:modified xsi:type="dcterms:W3CDTF">2026-08-07T09:34:48Z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